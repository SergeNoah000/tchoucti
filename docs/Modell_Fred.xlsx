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90" windowWidth="28275" windowHeight="12315"/>
  </bookViews>
  <sheets>
    <sheet name="Tabelle1" sheetId="1" r:id="rId1"/>
  </sheets>
  <externalReferences>
    <externalReference r:id="rId2"/>
  </externalReferences>
  <definedNames>
    <definedName name="BertinePayout">[1]InvestB!$G$2</definedName>
    <definedName name="CFAtoEuro">[1]InvestANA!$AE$7</definedName>
    <definedName name="EurotoCFA">[1]InvestANA!$AD$7</definedName>
    <definedName name="InvestBer">[1]InvestB!$F$2</definedName>
    <definedName name="InvestDo">[1]InvestD!$F$2</definedName>
    <definedName name="investYVE">[1]InvestY!$F$2</definedName>
    <definedName name="KapB">[1]InvestB!$B$2</definedName>
    <definedName name="kapD">[1]InvestD!$B$2</definedName>
    <definedName name="KapY">[1]InvestY!$B$2</definedName>
    <definedName name="PayoutBer">[1]InvestB!$G$2</definedName>
    <definedName name="PayoutDo">[1]InvestD!$G$2</definedName>
    <definedName name="PayoutHD">[1]InvestD!#REF!</definedName>
    <definedName name="test">[1]InvestD!#REF!</definedName>
    <definedName name="YvePayout">[1]InvestY!$G$2</definedName>
    <definedName name="yvettePayout">[1]InvestY!$G$2</definedName>
  </definedNames>
  <calcPr calcId="144525"/>
</workbook>
</file>

<file path=xl/calcChain.xml><?xml version="1.0" encoding="utf-8"?>
<calcChain xmlns="http://schemas.openxmlformats.org/spreadsheetml/2006/main">
  <c r="C3" i="1" l="1"/>
  <c r="F3" i="1" s="1"/>
  <c r="C4" i="1"/>
  <c r="F4" i="1"/>
  <c r="C5" i="1"/>
  <c r="F5" i="1" s="1"/>
  <c r="C6" i="1"/>
  <c r="F6" i="1"/>
  <c r="C7" i="1"/>
  <c r="F7" i="1" s="1"/>
  <c r="C8" i="1"/>
  <c r="F8" i="1"/>
  <c r="C9" i="1"/>
  <c r="F9" i="1" s="1"/>
  <c r="C10" i="1"/>
  <c r="F10" i="1"/>
  <c r="C11" i="1"/>
  <c r="F11" i="1" s="1"/>
  <c r="C12" i="1"/>
  <c r="F12" i="1"/>
  <c r="C13" i="1"/>
  <c r="F13" i="1" s="1"/>
  <c r="C14" i="1"/>
  <c r="F14" i="1"/>
  <c r="C15" i="1"/>
  <c r="F15" i="1" s="1"/>
  <c r="C16" i="1"/>
  <c r="F16" i="1"/>
  <c r="C17" i="1"/>
  <c r="F17" i="1" s="1"/>
  <c r="C18" i="1"/>
  <c r="F18" i="1"/>
  <c r="C19" i="1"/>
  <c r="F19" i="1" s="1"/>
  <c r="C20" i="1"/>
  <c r="F20" i="1"/>
  <c r="C22" i="1"/>
  <c r="C23" i="1"/>
  <c r="C25" i="1" s="1"/>
  <c r="C26" i="1" s="1"/>
  <c r="F25" i="1"/>
  <c r="J25" i="1"/>
  <c r="N25" i="1"/>
  <c r="J13" i="1" l="1"/>
  <c r="I13" i="1"/>
  <c r="J5" i="1"/>
  <c r="I20" i="1"/>
  <c r="J15" i="1"/>
  <c r="I7" i="1"/>
  <c r="J7" i="1"/>
  <c r="J17" i="1"/>
  <c r="I17" i="1"/>
  <c r="J9" i="1"/>
  <c r="I6" i="1"/>
  <c r="E3" i="1"/>
  <c r="G3" i="1" s="1"/>
  <c r="E5" i="1"/>
  <c r="G5" i="1" s="1"/>
  <c r="E7" i="1"/>
  <c r="G7" i="1" s="1"/>
  <c r="E9" i="1"/>
  <c r="G9" i="1" s="1"/>
  <c r="E11" i="1"/>
  <c r="G11" i="1" s="1"/>
  <c r="E13" i="1"/>
  <c r="G13" i="1" s="1"/>
  <c r="E15" i="1"/>
  <c r="G15" i="1" s="1"/>
  <c r="E17" i="1"/>
  <c r="G17" i="1" s="1"/>
  <c r="K17" i="1" s="1"/>
  <c r="E19" i="1"/>
  <c r="G19" i="1" s="1"/>
  <c r="E4" i="1"/>
  <c r="G4" i="1" s="1"/>
  <c r="E6" i="1"/>
  <c r="G6" i="1" s="1"/>
  <c r="E8" i="1"/>
  <c r="G8" i="1" s="1"/>
  <c r="E10" i="1"/>
  <c r="G10" i="1" s="1"/>
  <c r="E12" i="1"/>
  <c r="G12" i="1" s="1"/>
  <c r="E14" i="1"/>
  <c r="G14" i="1" s="1"/>
  <c r="E16" i="1"/>
  <c r="G16" i="1" s="1"/>
  <c r="E18" i="1"/>
  <c r="G18" i="1" s="1"/>
  <c r="E20" i="1"/>
  <c r="G20" i="1" s="1"/>
  <c r="J19" i="1"/>
  <c r="I19" i="1"/>
  <c r="J11" i="1"/>
  <c r="I8" i="1"/>
  <c r="J3" i="1"/>
  <c r="F22" i="1"/>
  <c r="F26" i="1" s="1"/>
  <c r="I10" i="1" s="1"/>
  <c r="J20" i="1"/>
  <c r="J18" i="1"/>
  <c r="J16" i="1"/>
  <c r="J14" i="1"/>
  <c r="J12" i="1"/>
  <c r="J10" i="1"/>
  <c r="J8" i="1"/>
  <c r="J6" i="1"/>
  <c r="J4" i="1"/>
  <c r="N4" i="1" l="1"/>
  <c r="M12" i="1"/>
  <c r="N12" i="1"/>
  <c r="N20" i="1"/>
  <c r="K8" i="1"/>
  <c r="K9" i="1"/>
  <c r="M6" i="1"/>
  <c r="N6" i="1"/>
  <c r="N14" i="1"/>
  <c r="N11" i="1"/>
  <c r="M11" i="1"/>
  <c r="N19" i="1"/>
  <c r="M19" i="1"/>
  <c r="K14" i="1"/>
  <c r="K6" i="1"/>
  <c r="O6" i="1" s="1"/>
  <c r="K7" i="1"/>
  <c r="N9" i="1"/>
  <c r="M9" i="1"/>
  <c r="N17" i="1"/>
  <c r="M17" i="1"/>
  <c r="O17" i="1" s="1"/>
  <c r="I12" i="1"/>
  <c r="K12" i="1" s="1"/>
  <c r="O12" i="1" s="1"/>
  <c r="N5" i="1"/>
  <c r="N13" i="1"/>
  <c r="M13" i="1"/>
  <c r="M8" i="1"/>
  <c r="N8" i="1"/>
  <c r="M16" i="1"/>
  <c r="N16" i="1"/>
  <c r="N3" i="1"/>
  <c r="J22" i="1"/>
  <c r="J26" i="1" s="1"/>
  <c r="M4" i="1" s="1"/>
  <c r="M3" i="1"/>
  <c r="I11" i="1"/>
  <c r="K20" i="1"/>
  <c r="K13" i="1"/>
  <c r="O13" i="1" s="1"/>
  <c r="I9" i="1"/>
  <c r="I4" i="1"/>
  <c r="K4" i="1" s="1"/>
  <c r="O4" i="1" s="1"/>
  <c r="I15" i="1"/>
  <c r="K15" i="1" s="1"/>
  <c r="O15" i="1" s="1"/>
  <c r="I5" i="1"/>
  <c r="K5" i="1" s="1"/>
  <c r="I18" i="1"/>
  <c r="M10" i="1"/>
  <c r="N10" i="1"/>
  <c r="M18" i="1"/>
  <c r="N18" i="1"/>
  <c r="I3" i="1"/>
  <c r="I16" i="1"/>
  <c r="K16" i="1" s="1"/>
  <c r="O16" i="1" s="1"/>
  <c r="K18" i="1"/>
  <c r="O18" i="1" s="1"/>
  <c r="K10" i="1"/>
  <c r="K19" i="1"/>
  <c r="O19" i="1" s="1"/>
  <c r="K11" i="1"/>
  <c r="K3" i="1"/>
  <c r="O3" i="1" s="1"/>
  <c r="I14" i="1"/>
  <c r="N7" i="1"/>
  <c r="M7" i="1"/>
  <c r="N15" i="1"/>
  <c r="M15" i="1"/>
  <c r="N22" i="1" l="1"/>
  <c r="N26" i="1" s="1"/>
  <c r="O8" i="1"/>
  <c r="O11" i="1"/>
  <c r="O7" i="1"/>
  <c r="O9" i="1"/>
  <c r="O10" i="1"/>
  <c r="M5" i="1"/>
  <c r="O5" i="1" s="1"/>
  <c r="M14" i="1"/>
  <c r="O14" i="1" s="1"/>
  <c r="M20" i="1"/>
  <c r="O20" i="1" s="1"/>
</calcChain>
</file>

<file path=xl/sharedStrings.xml><?xml version="1.0" encoding="utf-8"?>
<sst xmlns="http://schemas.openxmlformats.org/spreadsheetml/2006/main" count="49" uniqueCount="40">
  <si>
    <t>rentabilité par franc disponible</t>
  </si>
  <si>
    <t>interet percu</t>
  </si>
  <si>
    <t>Taux d interet</t>
  </si>
  <si>
    <t>montant preté</t>
  </si>
  <si>
    <t>Montant total disponible</t>
  </si>
  <si>
    <t>P18</t>
  </si>
  <si>
    <t>P17</t>
  </si>
  <si>
    <t>P16</t>
  </si>
  <si>
    <t>P15</t>
  </si>
  <si>
    <t>P14</t>
  </si>
  <si>
    <t>P13</t>
  </si>
  <si>
    <t>P12</t>
  </si>
  <si>
    <t>P11</t>
  </si>
  <si>
    <t>P10</t>
  </si>
  <si>
    <t>P9</t>
  </si>
  <si>
    <t>P8</t>
  </si>
  <si>
    <t>P7</t>
  </si>
  <si>
    <t>P6</t>
  </si>
  <si>
    <t>P5</t>
  </si>
  <si>
    <t>P4</t>
  </si>
  <si>
    <t>P3</t>
  </si>
  <si>
    <t>P2</t>
  </si>
  <si>
    <t>P1</t>
  </si>
  <si>
    <t>Etat compte interet</t>
  </si>
  <si>
    <t>Etat du compte apport</t>
  </si>
  <si>
    <t>interet</t>
  </si>
  <si>
    <t xml:space="preserve">apport </t>
  </si>
  <si>
    <t>apport</t>
  </si>
  <si>
    <t>dez</t>
  </si>
  <si>
    <t>nov</t>
  </si>
  <si>
    <t>okt</t>
  </si>
  <si>
    <t>sep</t>
  </si>
  <si>
    <t>aug</t>
  </si>
  <si>
    <t>jul</t>
  </si>
  <si>
    <t>jun</t>
  </si>
  <si>
    <t>mai</t>
  </si>
  <si>
    <t>apr</t>
  </si>
  <si>
    <t>mrz</t>
  </si>
  <si>
    <t>feb</t>
  </si>
  <si>
    <t>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</si>
</sst>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\ _€_-;\-* #,##0.00\ _€_-;_-* &quot;-&quot;??\ _€_-;_-@_-"/>
    <numFmt numFmtId="164" formatCode="_-* #,##0\ _€_-;\-* #,##0\ _€_-;_-* &quot;-&quot;??\ _€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1" xfId="0" applyBorder="1"/>
    <xf numFmtId="164" fontId="0" fillId="0" borderId="1" xfId="1" applyNumberFormat="1" applyFont="1" applyBorder="1"/>
    <xf numFmtId="9" fontId="0" fillId="0" borderId="1" xfId="0" applyNumberFormat="1" applyBorder="1"/>
    <xf numFmtId="0" fontId="0" fillId="0" borderId="1" xfId="0" applyFill="1" applyBorder="1"/>
    <xf numFmtId="0" fontId="0" fillId="0" borderId="2" xfId="0" applyBorder="1"/>
    <xf numFmtId="164" fontId="0" fillId="0" borderId="2" xfId="1" applyNumberFormat="1" applyFont="1" applyBorder="1"/>
    <xf numFmtId="164" fontId="0" fillId="0" borderId="1" xfId="0" applyNumberFormat="1" applyBorder="1"/>
    <xf numFmtId="0" fontId="2" fillId="0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0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</cellXfs>
  <cellStyles count="2">
    <cellStyle name="Komma" xfId="1" builtinId="3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ze/Desktop/limo/limo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hat Limo"/>
      <sheetName val="vente Limo"/>
      <sheetName val="InvestD"/>
      <sheetName val="InvestB"/>
      <sheetName val="InvestY"/>
      <sheetName val="InvestANA"/>
      <sheetName val="downline"/>
      <sheetName val="Natacha"/>
      <sheetName val="PW"/>
      <sheetName val="Tabelle1"/>
      <sheetName val="Strategie Groupe"/>
      <sheetName val="MNH"/>
      <sheetName val="Bertine"/>
      <sheetName val="Josiane"/>
      <sheetName val="KOKO"/>
      <sheetName val="Tabelle2"/>
    </sheetNames>
    <sheetDataSet>
      <sheetData sheetId="0"/>
      <sheetData sheetId="1"/>
      <sheetData sheetId="2">
        <row r="2">
          <cell r="B2">
            <v>40587.18</v>
          </cell>
          <cell r="F2">
            <v>48800</v>
          </cell>
          <cell r="G2">
            <v>1983.79</v>
          </cell>
        </row>
      </sheetData>
      <sheetData sheetId="3">
        <row r="2">
          <cell r="B2">
            <v>43480.770000000004</v>
          </cell>
          <cell r="F2">
            <v>40400</v>
          </cell>
          <cell r="G2">
            <v>1669.2</v>
          </cell>
        </row>
      </sheetData>
      <sheetData sheetId="4">
        <row r="2">
          <cell r="B2">
            <v>96428.87</v>
          </cell>
          <cell r="F2">
            <v>64900</v>
          </cell>
          <cell r="G2">
            <v>2667.64</v>
          </cell>
        </row>
      </sheetData>
      <sheetData sheetId="5">
        <row r="7">
          <cell r="AD7">
            <v>655.95699999999999</v>
          </cell>
          <cell r="AE7">
            <v>1.5244901723741038E-3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6"/>
  <sheetViews>
    <sheetView tabSelected="1" workbookViewId="0">
      <selection activeCell="F33" sqref="F33"/>
    </sheetView>
  </sheetViews>
  <sheetFormatPr baseColWidth="10" defaultRowHeight="15" x14ac:dyDescent="0.25"/>
  <cols>
    <col min="1" max="1" width="28.42578125" customWidth="1"/>
    <col min="2" max="2" width="12.5703125" customWidth="1"/>
    <col min="3" max="3" width="14.5703125" customWidth="1"/>
    <col min="4" max="4" width="13" bestFit="1" customWidth="1"/>
    <col min="5" max="5" width="11.5703125" bestFit="1" customWidth="1"/>
    <col min="6" max="6" width="13.28515625" customWidth="1"/>
    <col min="7" max="7" width="14.5703125" customWidth="1"/>
    <col min="8" max="8" width="12" bestFit="1" customWidth="1"/>
    <col min="11" max="11" width="15.140625" customWidth="1"/>
    <col min="14" max="14" width="14.28515625" customWidth="1"/>
  </cols>
  <sheetData>
    <row r="1" spans="1:23" ht="15.75" x14ac:dyDescent="0.25">
      <c r="B1" s="12" t="s">
        <v>39</v>
      </c>
      <c r="C1" s="12"/>
      <c r="D1" s="12" t="s">
        <v>38</v>
      </c>
      <c r="E1" s="12"/>
      <c r="F1" s="12"/>
      <c r="G1" s="12"/>
      <c r="H1" s="12" t="s">
        <v>37</v>
      </c>
      <c r="I1" s="12"/>
      <c r="J1" s="12"/>
      <c r="K1" s="12"/>
      <c r="L1" s="11" t="s">
        <v>36</v>
      </c>
      <c r="M1" s="10"/>
      <c r="N1" s="10"/>
      <c r="O1" s="10"/>
      <c r="P1" t="s">
        <v>35</v>
      </c>
      <c r="Q1" t="s">
        <v>34</v>
      </c>
      <c r="R1" t="s">
        <v>33</v>
      </c>
      <c r="S1" t="s">
        <v>32</v>
      </c>
      <c r="T1" t="s">
        <v>31</v>
      </c>
      <c r="U1" t="s">
        <v>30</v>
      </c>
      <c r="V1" t="s">
        <v>29</v>
      </c>
      <c r="W1" t="s">
        <v>28</v>
      </c>
    </row>
    <row r="2" spans="1:23" ht="45" x14ac:dyDescent="0.25">
      <c r="B2" s="9" t="s">
        <v>27</v>
      </c>
      <c r="C2" s="9" t="s">
        <v>24</v>
      </c>
      <c r="D2" s="9" t="s">
        <v>26</v>
      </c>
      <c r="E2" s="9" t="s">
        <v>25</v>
      </c>
      <c r="F2" s="9" t="s">
        <v>24</v>
      </c>
      <c r="G2" s="8" t="s">
        <v>23</v>
      </c>
      <c r="H2" s="9" t="s">
        <v>26</v>
      </c>
      <c r="I2" s="9" t="s">
        <v>25</v>
      </c>
      <c r="J2" s="9" t="s">
        <v>24</v>
      </c>
      <c r="K2" s="8" t="s">
        <v>23</v>
      </c>
      <c r="L2" s="9" t="s">
        <v>26</v>
      </c>
      <c r="M2" s="9" t="s">
        <v>25</v>
      </c>
      <c r="N2" s="9" t="s">
        <v>24</v>
      </c>
      <c r="O2" s="8" t="s">
        <v>23</v>
      </c>
    </row>
    <row r="3" spans="1:23" x14ac:dyDescent="0.25">
      <c r="A3" s="1" t="s">
        <v>22</v>
      </c>
      <c r="B3" s="2">
        <v>10000</v>
      </c>
      <c r="C3" s="7">
        <f>B3</f>
        <v>10000</v>
      </c>
      <c r="D3" s="2">
        <v>10000</v>
      </c>
      <c r="E3" s="2">
        <f>B3*$C$26</f>
        <v>228.57142857142858</v>
      </c>
      <c r="F3" s="2">
        <f>C3+D3</f>
        <v>20000</v>
      </c>
      <c r="G3" s="7">
        <f>E3</f>
        <v>228.57142857142858</v>
      </c>
      <c r="H3" s="2">
        <v>0</v>
      </c>
      <c r="I3" s="2">
        <f>F3*$F$26</f>
        <v>774.19354838709683</v>
      </c>
      <c r="J3" s="2">
        <f>F3+H3</f>
        <v>20000</v>
      </c>
      <c r="K3" s="7">
        <f>G3+I3</f>
        <v>1002.7649769585254</v>
      </c>
      <c r="L3" s="1">
        <v>10000</v>
      </c>
      <c r="M3" s="7">
        <f>J3*$J$26</f>
        <v>545.45454545454538</v>
      </c>
      <c r="N3" s="7">
        <f>J3+L3</f>
        <v>30000</v>
      </c>
      <c r="O3" s="7">
        <f>K3+M3</f>
        <v>1548.2195224130708</v>
      </c>
    </row>
    <row r="4" spans="1:23" x14ac:dyDescent="0.25">
      <c r="A4" s="1" t="s">
        <v>21</v>
      </c>
      <c r="B4" s="2">
        <v>20000</v>
      </c>
      <c r="C4" s="7">
        <f>B4</f>
        <v>20000</v>
      </c>
      <c r="D4" s="2">
        <v>10000</v>
      </c>
      <c r="E4" s="2">
        <f>B4*$C$26</f>
        <v>457.14285714285717</v>
      </c>
      <c r="F4" s="2">
        <f>C4+D4</f>
        <v>30000</v>
      </c>
      <c r="G4" s="7">
        <f>E4</f>
        <v>457.14285714285717</v>
      </c>
      <c r="H4" s="2">
        <v>0</v>
      </c>
      <c r="I4" s="2">
        <f>F4*$F$26</f>
        <v>1161.2903225806451</v>
      </c>
      <c r="J4" s="2">
        <f>F4+H4</f>
        <v>30000</v>
      </c>
      <c r="K4" s="7">
        <f>G4+I4</f>
        <v>1618.4331797235022</v>
      </c>
      <c r="L4" s="1">
        <v>15000</v>
      </c>
      <c r="M4" s="7">
        <f>J4*$J$26</f>
        <v>818.18181818181813</v>
      </c>
      <c r="N4" s="7">
        <f>J4+L4</f>
        <v>45000</v>
      </c>
      <c r="O4" s="7">
        <f>K4+M4</f>
        <v>2436.6149979053203</v>
      </c>
    </row>
    <row r="5" spans="1:23" x14ac:dyDescent="0.25">
      <c r="A5" s="1" t="s">
        <v>20</v>
      </c>
      <c r="B5" s="2">
        <v>10000</v>
      </c>
      <c r="C5" s="7">
        <f>B5</f>
        <v>10000</v>
      </c>
      <c r="D5" s="2">
        <v>10000</v>
      </c>
      <c r="E5" s="2">
        <f>B5*$C$26</f>
        <v>228.57142857142858</v>
      </c>
      <c r="F5" s="2">
        <f>C5+D5</f>
        <v>20000</v>
      </c>
      <c r="G5" s="7">
        <f>E5</f>
        <v>228.57142857142858</v>
      </c>
      <c r="H5" s="2">
        <v>0</v>
      </c>
      <c r="I5" s="2">
        <f>F5*$F$26</f>
        <v>774.19354838709683</v>
      </c>
      <c r="J5" s="2">
        <f>F5+H5</f>
        <v>20000</v>
      </c>
      <c r="K5" s="7">
        <f>G5+I5</f>
        <v>1002.7649769585254</v>
      </c>
      <c r="L5" s="1"/>
      <c r="M5" s="7">
        <f>J5*$J$26</f>
        <v>545.45454545454538</v>
      </c>
      <c r="N5" s="7">
        <f>J5+L5</f>
        <v>20000</v>
      </c>
      <c r="O5" s="7">
        <f>K5+M5</f>
        <v>1548.2195224130708</v>
      </c>
    </row>
    <row r="6" spans="1:23" x14ac:dyDescent="0.25">
      <c r="A6" s="1" t="s">
        <v>19</v>
      </c>
      <c r="B6" s="2">
        <v>0</v>
      </c>
      <c r="C6" s="7">
        <f>B6</f>
        <v>0</v>
      </c>
      <c r="D6" s="2">
        <v>10000</v>
      </c>
      <c r="E6" s="2">
        <f>B6*$C$26</f>
        <v>0</v>
      </c>
      <c r="F6" s="2">
        <f>C6+D6</f>
        <v>10000</v>
      </c>
      <c r="G6" s="7">
        <f>E6</f>
        <v>0</v>
      </c>
      <c r="H6" s="2">
        <v>30000</v>
      </c>
      <c r="I6" s="2">
        <f>F6*$F$26</f>
        <v>387.09677419354841</v>
      </c>
      <c r="J6" s="2">
        <f>F6+H6</f>
        <v>40000</v>
      </c>
      <c r="K6" s="7">
        <f>G6+I6</f>
        <v>387.09677419354841</v>
      </c>
      <c r="L6" s="1">
        <v>5000</v>
      </c>
      <c r="M6" s="7">
        <f>J6*$J$26</f>
        <v>1090.9090909090908</v>
      </c>
      <c r="N6" s="7">
        <f>J6+L6</f>
        <v>45000</v>
      </c>
      <c r="O6" s="7">
        <f>K6+M6</f>
        <v>1478.0058651026393</v>
      </c>
    </row>
    <row r="7" spans="1:23" x14ac:dyDescent="0.25">
      <c r="A7" s="1" t="s">
        <v>18</v>
      </c>
      <c r="B7" s="2">
        <v>40000</v>
      </c>
      <c r="C7" s="7">
        <f>B7</f>
        <v>40000</v>
      </c>
      <c r="D7" s="2">
        <v>0</v>
      </c>
      <c r="E7" s="2">
        <f>B7*$C$26</f>
        <v>914.28571428571433</v>
      </c>
      <c r="F7" s="2">
        <f>C7+D7</f>
        <v>40000</v>
      </c>
      <c r="G7" s="7">
        <f>E7</f>
        <v>914.28571428571433</v>
      </c>
      <c r="H7" s="2">
        <v>0</v>
      </c>
      <c r="I7" s="2">
        <f>F7*$F$26</f>
        <v>1548.3870967741937</v>
      </c>
      <c r="J7" s="2">
        <f>F7+H7</f>
        <v>40000</v>
      </c>
      <c r="K7" s="7">
        <f>G7+I7</f>
        <v>2462.6728110599079</v>
      </c>
      <c r="L7" s="1">
        <v>15000</v>
      </c>
      <c r="M7" s="7">
        <f>J7*$J$26</f>
        <v>1090.9090909090908</v>
      </c>
      <c r="N7" s="7">
        <f>J7+L7</f>
        <v>55000</v>
      </c>
      <c r="O7" s="7">
        <f>K7+M7</f>
        <v>3553.5819019689989</v>
      </c>
    </row>
    <row r="8" spans="1:23" x14ac:dyDescent="0.25">
      <c r="A8" s="1" t="s">
        <v>17</v>
      </c>
      <c r="B8" s="2">
        <v>30000</v>
      </c>
      <c r="C8" s="7">
        <f>B8</f>
        <v>30000</v>
      </c>
      <c r="D8" s="2">
        <v>5000</v>
      </c>
      <c r="E8" s="2">
        <f>B8*$C$26</f>
        <v>685.71428571428567</v>
      </c>
      <c r="F8" s="2">
        <f>C8+D8</f>
        <v>35000</v>
      </c>
      <c r="G8" s="7">
        <f>E8</f>
        <v>685.71428571428567</v>
      </c>
      <c r="H8" s="2">
        <v>10000</v>
      </c>
      <c r="I8" s="2">
        <f>F8*$F$26</f>
        <v>1354.8387096774195</v>
      </c>
      <c r="J8" s="2">
        <f>F8+H8</f>
        <v>45000</v>
      </c>
      <c r="K8" s="7">
        <f>G8+I8</f>
        <v>2040.5529953917053</v>
      </c>
      <c r="L8" s="1">
        <v>0</v>
      </c>
      <c r="M8" s="7">
        <f>J8*$J$26</f>
        <v>1227.2727272727273</v>
      </c>
      <c r="N8" s="7">
        <f>J8+L8</f>
        <v>45000</v>
      </c>
      <c r="O8" s="7">
        <f>K8+M8</f>
        <v>3267.8257226644328</v>
      </c>
    </row>
    <row r="9" spans="1:23" x14ac:dyDescent="0.25">
      <c r="A9" s="1" t="s">
        <v>16</v>
      </c>
      <c r="B9" s="2">
        <v>0</v>
      </c>
      <c r="C9" s="7">
        <f>B9</f>
        <v>0</v>
      </c>
      <c r="D9" s="2">
        <v>15000</v>
      </c>
      <c r="E9" s="2">
        <f>B9*$C$26</f>
        <v>0</v>
      </c>
      <c r="F9" s="2">
        <f>C9+D9</f>
        <v>15000</v>
      </c>
      <c r="G9" s="7">
        <f>E9</f>
        <v>0</v>
      </c>
      <c r="H9" s="2">
        <v>10000</v>
      </c>
      <c r="I9" s="2">
        <f>F9*$F$26</f>
        <v>580.64516129032256</v>
      </c>
      <c r="J9" s="2">
        <f>F9+H9</f>
        <v>25000</v>
      </c>
      <c r="K9" s="7">
        <f>G9+I9</f>
        <v>580.64516129032256</v>
      </c>
      <c r="L9" s="1">
        <v>10000</v>
      </c>
      <c r="M9" s="7">
        <f>J9*$J$26</f>
        <v>681.81818181818176</v>
      </c>
      <c r="N9" s="7">
        <f>J9+L9</f>
        <v>35000</v>
      </c>
      <c r="O9" s="7">
        <f>K9+M9</f>
        <v>1262.4633431085044</v>
      </c>
    </row>
    <row r="10" spans="1:23" x14ac:dyDescent="0.25">
      <c r="A10" s="1" t="s">
        <v>15</v>
      </c>
      <c r="B10" s="2">
        <v>10000</v>
      </c>
      <c r="C10" s="7">
        <f>B10</f>
        <v>10000</v>
      </c>
      <c r="D10" s="2">
        <v>5000</v>
      </c>
      <c r="E10" s="2">
        <f>B10*$C$26</f>
        <v>228.57142857142858</v>
      </c>
      <c r="F10" s="2">
        <f>C10+D10</f>
        <v>15000</v>
      </c>
      <c r="G10" s="7">
        <f>E10</f>
        <v>228.57142857142858</v>
      </c>
      <c r="H10" s="2">
        <v>0</v>
      </c>
      <c r="I10" s="2">
        <f>F10*$F$26</f>
        <v>580.64516129032256</v>
      </c>
      <c r="J10" s="2">
        <f>F10+H10</f>
        <v>15000</v>
      </c>
      <c r="K10" s="7">
        <f>G10+I10</f>
        <v>809.21658986175112</v>
      </c>
      <c r="L10" s="1">
        <v>20000</v>
      </c>
      <c r="M10" s="7">
        <f>J10*$J$26</f>
        <v>409.09090909090907</v>
      </c>
      <c r="N10" s="7">
        <f>J10+L10</f>
        <v>35000</v>
      </c>
      <c r="O10" s="7">
        <f>K10+M10</f>
        <v>1218.3074989526601</v>
      </c>
    </row>
    <row r="11" spans="1:23" x14ac:dyDescent="0.25">
      <c r="A11" s="1" t="s">
        <v>14</v>
      </c>
      <c r="B11" s="2">
        <v>5000</v>
      </c>
      <c r="C11" s="7">
        <f>B11</f>
        <v>5000</v>
      </c>
      <c r="D11" s="2">
        <v>0</v>
      </c>
      <c r="E11" s="2">
        <f>B11*$C$26</f>
        <v>114.28571428571429</v>
      </c>
      <c r="F11" s="2">
        <f>C11+D11</f>
        <v>5000</v>
      </c>
      <c r="G11" s="7">
        <f>E11</f>
        <v>114.28571428571429</v>
      </c>
      <c r="H11" s="2">
        <v>30000</v>
      </c>
      <c r="I11" s="2">
        <f>F11*$F$26</f>
        <v>193.54838709677421</v>
      </c>
      <c r="J11" s="2">
        <f>F11+H11</f>
        <v>35000</v>
      </c>
      <c r="K11" s="7">
        <f>G11+I11</f>
        <v>307.83410138248848</v>
      </c>
      <c r="L11" s="1">
        <v>5000</v>
      </c>
      <c r="M11" s="7">
        <f>J11*$J$26</f>
        <v>954.5454545454545</v>
      </c>
      <c r="N11" s="7">
        <f>J11+L11</f>
        <v>40000</v>
      </c>
      <c r="O11" s="7">
        <f>K11+M11</f>
        <v>1262.3795559279429</v>
      </c>
    </row>
    <row r="12" spans="1:23" x14ac:dyDescent="0.25">
      <c r="A12" s="1" t="s">
        <v>13</v>
      </c>
      <c r="B12" s="2">
        <v>50000</v>
      </c>
      <c r="C12" s="7">
        <f>B12</f>
        <v>50000</v>
      </c>
      <c r="D12" s="2">
        <v>0</v>
      </c>
      <c r="E12" s="2">
        <f>B12*$C$26</f>
        <v>1142.8571428571429</v>
      </c>
      <c r="F12" s="2">
        <f>C12+D12</f>
        <v>50000</v>
      </c>
      <c r="G12" s="7">
        <f>E12</f>
        <v>1142.8571428571429</v>
      </c>
      <c r="H12" s="2">
        <v>40000</v>
      </c>
      <c r="I12" s="2">
        <f>F12*$F$26</f>
        <v>1935.483870967742</v>
      </c>
      <c r="J12" s="2">
        <f>F12+H12</f>
        <v>90000</v>
      </c>
      <c r="K12" s="7">
        <f>G12+I12</f>
        <v>3078.3410138248846</v>
      </c>
      <c r="L12" s="1">
        <v>0</v>
      </c>
      <c r="M12" s="7">
        <f>J12*$J$26</f>
        <v>2454.5454545454545</v>
      </c>
      <c r="N12" s="7">
        <f>J12+L12</f>
        <v>90000</v>
      </c>
      <c r="O12" s="7">
        <f>K12+M12</f>
        <v>5532.8864683703396</v>
      </c>
    </row>
    <row r="13" spans="1:23" x14ac:dyDescent="0.25">
      <c r="A13" s="1" t="s">
        <v>12</v>
      </c>
      <c r="B13" s="2">
        <v>0</v>
      </c>
      <c r="C13" s="7">
        <f>B13</f>
        <v>0</v>
      </c>
      <c r="D13" s="2">
        <v>0</v>
      </c>
      <c r="E13" s="2">
        <f>B13*$C$26</f>
        <v>0</v>
      </c>
      <c r="F13" s="2">
        <f>C13+D13</f>
        <v>0</v>
      </c>
      <c r="G13" s="7">
        <f>E13</f>
        <v>0</v>
      </c>
      <c r="H13" s="2">
        <v>10000</v>
      </c>
      <c r="I13" s="2">
        <f>F13*$F$26</f>
        <v>0</v>
      </c>
      <c r="J13" s="2">
        <f>F13+H13</f>
        <v>10000</v>
      </c>
      <c r="K13" s="7">
        <f>G13+I13</f>
        <v>0</v>
      </c>
      <c r="L13" s="1">
        <v>40000</v>
      </c>
      <c r="M13" s="7">
        <f>J13*$J$26</f>
        <v>272.72727272727269</v>
      </c>
      <c r="N13" s="7">
        <f>J13+L13</f>
        <v>50000</v>
      </c>
      <c r="O13" s="7">
        <f>K13+M13</f>
        <v>272.72727272727269</v>
      </c>
    </row>
    <row r="14" spans="1:23" x14ac:dyDescent="0.25">
      <c r="A14" s="1" t="s">
        <v>11</v>
      </c>
      <c r="B14" s="2">
        <v>0</v>
      </c>
      <c r="C14" s="7">
        <f>B14</f>
        <v>0</v>
      </c>
      <c r="D14" s="2">
        <v>0</v>
      </c>
      <c r="E14" s="2">
        <f>B14*$C$26</f>
        <v>0</v>
      </c>
      <c r="F14" s="2">
        <f>C14+D14</f>
        <v>0</v>
      </c>
      <c r="G14" s="7">
        <f>E14</f>
        <v>0</v>
      </c>
      <c r="H14" s="2">
        <v>0</v>
      </c>
      <c r="I14" s="2">
        <f>F14*$F$26</f>
        <v>0</v>
      </c>
      <c r="J14" s="2">
        <f>F14+H14</f>
        <v>0</v>
      </c>
      <c r="K14" s="7">
        <f>G14+I14</f>
        <v>0</v>
      </c>
      <c r="L14" s="1">
        <v>50000</v>
      </c>
      <c r="M14" s="7">
        <f>J14*$J$26</f>
        <v>0</v>
      </c>
      <c r="N14" s="7">
        <f>J14+L14</f>
        <v>50000</v>
      </c>
      <c r="O14" s="7">
        <f>K14+M14</f>
        <v>0</v>
      </c>
    </row>
    <row r="15" spans="1:23" x14ac:dyDescent="0.25">
      <c r="A15" s="1" t="s">
        <v>10</v>
      </c>
      <c r="B15" s="2">
        <v>0</v>
      </c>
      <c r="C15" s="7">
        <f>B15</f>
        <v>0</v>
      </c>
      <c r="D15" s="2">
        <v>0</v>
      </c>
      <c r="E15" s="2">
        <f>B15*$C$26</f>
        <v>0</v>
      </c>
      <c r="F15" s="2">
        <f>C15+D15</f>
        <v>0</v>
      </c>
      <c r="G15" s="7">
        <f>E15</f>
        <v>0</v>
      </c>
      <c r="H15" s="2">
        <v>0</v>
      </c>
      <c r="I15" s="2">
        <f>F15*$F$26</f>
        <v>0</v>
      </c>
      <c r="J15" s="2">
        <f>F15+H15</f>
        <v>0</v>
      </c>
      <c r="K15" s="7">
        <f>G15+I15</f>
        <v>0</v>
      </c>
      <c r="L15" s="1">
        <v>50000</v>
      </c>
      <c r="M15" s="7">
        <f>J15*$J$26</f>
        <v>0</v>
      </c>
      <c r="N15" s="7">
        <f>J15+L15</f>
        <v>50000</v>
      </c>
      <c r="O15" s="7">
        <f>K15+M15</f>
        <v>0</v>
      </c>
    </row>
    <row r="16" spans="1:23" x14ac:dyDescent="0.25">
      <c r="A16" s="1" t="s">
        <v>9</v>
      </c>
      <c r="B16" s="2">
        <v>0</v>
      </c>
      <c r="C16" s="7">
        <f>B16</f>
        <v>0</v>
      </c>
      <c r="D16" s="2">
        <v>20000</v>
      </c>
      <c r="E16" s="2">
        <f>B16*$C$26</f>
        <v>0</v>
      </c>
      <c r="F16" s="2">
        <f>C16+D16</f>
        <v>20000</v>
      </c>
      <c r="G16" s="7">
        <f>E16</f>
        <v>0</v>
      </c>
      <c r="H16" s="2">
        <v>0</v>
      </c>
      <c r="I16" s="2">
        <f>F16*$F$26</f>
        <v>774.19354838709683</v>
      </c>
      <c r="J16" s="2">
        <f>F16+H16</f>
        <v>20000</v>
      </c>
      <c r="K16" s="7">
        <f>G16+I16</f>
        <v>774.19354838709683</v>
      </c>
      <c r="L16" s="1">
        <v>10000</v>
      </c>
      <c r="M16" s="7">
        <f>J16*$J$26</f>
        <v>545.45454545454538</v>
      </c>
      <c r="N16" s="7">
        <f>J16+L16</f>
        <v>30000</v>
      </c>
      <c r="O16" s="7">
        <f>K16+M16</f>
        <v>1319.6480938416421</v>
      </c>
    </row>
    <row r="17" spans="1:15" x14ac:dyDescent="0.25">
      <c r="A17" s="1" t="s">
        <v>8</v>
      </c>
      <c r="B17" s="2">
        <v>0</v>
      </c>
      <c r="C17" s="7">
        <f>B17</f>
        <v>0</v>
      </c>
      <c r="D17" s="2">
        <v>40000</v>
      </c>
      <c r="E17" s="2">
        <f>B17*$C$26</f>
        <v>0</v>
      </c>
      <c r="F17" s="2">
        <f>C17+D17</f>
        <v>40000</v>
      </c>
      <c r="G17" s="7">
        <f>E17</f>
        <v>0</v>
      </c>
      <c r="H17" s="2">
        <v>0</v>
      </c>
      <c r="I17" s="2">
        <f>F17*$F$26</f>
        <v>1548.3870967741937</v>
      </c>
      <c r="J17" s="2">
        <f>F17+H17</f>
        <v>40000</v>
      </c>
      <c r="K17" s="7">
        <f>G17+I17</f>
        <v>1548.3870967741937</v>
      </c>
      <c r="L17" s="1">
        <v>0</v>
      </c>
      <c r="M17" s="7">
        <f>J17*$J$26</f>
        <v>1090.9090909090908</v>
      </c>
      <c r="N17" s="7">
        <f>J17+L17</f>
        <v>40000</v>
      </c>
      <c r="O17" s="7">
        <f>K17+M17</f>
        <v>2639.2961876832842</v>
      </c>
    </row>
    <row r="18" spans="1:15" x14ac:dyDescent="0.25">
      <c r="A18" s="1" t="s">
        <v>7</v>
      </c>
      <c r="B18" s="2">
        <v>0</v>
      </c>
      <c r="C18" s="7">
        <f>B18</f>
        <v>0</v>
      </c>
      <c r="D18" s="2">
        <v>10000</v>
      </c>
      <c r="E18" s="2">
        <f>B18*$C$26</f>
        <v>0</v>
      </c>
      <c r="F18" s="2">
        <f>C18+D18</f>
        <v>10000</v>
      </c>
      <c r="G18" s="7">
        <f>E18</f>
        <v>0</v>
      </c>
      <c r="H18" s="2">
        <v>0</v>
      </c>
      <c r="I18" s="2">
        <f>F18*$F$26</f>
        <v>387.09677419354841</v>
      </c>
      <c r="J18" s="2">
        <f>F18+H18</f>
        <v>10000</v>
      </c>
      <c r="K18" s="7">
        <f>G18+I18</f>
        <v>387.09677419354841</v>
      </c>
      <c r="L18" s="1">
        <v>10000</v>
      </c>
      <c r="M18" s="7">
        <f>J18*$J$26</f>
        <v>272.72727272727269</v>
      </c>
      <c r="N18" s="7">
        <f>J18+L18</f>
        <v>20000</v>
      </c>
      <c r="O18" s="7">
        <f>K18+M18</f>
        <v>659.82404692082105</v>
      </c>
    </row>
    <row r="19" spans="1:15" x14ac:dyDescent="0.25">
      <c r="A19" s="1" t="s">
        <v>6</v>
      </c>
      <c r="B19" s="2">
        <v>0</v>
      </c>
      <c r="C19" s="7">
        <f>B19</f>
        <v>0</v>
      </c>
      <c r="D19" s="2">
        <v>0</v>
      </c>
      <c r="E19" s="2">
        <f>B19*$C$26</f>
        <v>0</v>
      </c>
      <c r="F19" s="2">
        <f>C19+D19</f>
        <v>0</v>
      </c>
      <c r="G19" s="7">
        <f>E19</f>
        <v>0</v>
      </c>
      <c r="H19" s="2">
        <v>0</v>
      </c>
      <c r="I19" s="2">
        <f>F19*$F$26</f>
        <v>0</v>
      </c>
      <c r="J19" s="2">
        <f>F19+H19</f>
        <v>0</v>
      </c>
      <c r="K19" s="7">
        <f>G19+I19</f>
        <v>0</v>
      </c>
      <c r="L19" s="1">
        <v>50000</v>
      </c>
      <c r="M19" s="7">
        <f>J19*$J$26</f>
        <v>0</v>
      </c>
      <c r="N19" s="7">
        <f>J19+L19</f>
        <v>50000</v>
      </c>
      <c r="O19" s="7">
        <f>K19+M19</f>
        <v>0</v>
      </c>
    </row>
    <row r="20" spans="1:15" x14ac:dyDescent="0.25">
      <c r="A20" s="1" t="s">
        <v>5</v>
      </c>
      <c r="B20" s="2">
        <v>0</v>
      </c>
      <c r="C20" s="7">
        <f>B20</f>
        <v>0</v>
      </c>
      <c r="D20" s="2">
        <v>0</v>
      </c>
      <c r="E20" s="2">
        <f>B20*$C$26</f>
        <v>0</v>
      </c>
      <c r="F20" s="2">
        <f>C20+D20</f>
        <v>0</v>
      </c>
      <c r="G20" s="7">
        <f>E20</f>
        <v>0</v>
      </c>
      <c r="H20" s="2">
        <v>0</v>
      </c>
      <c r="I20" s="2">
        <f>F20*$F$26</f>
        <v>0</v>
      </c>
      <c r="J20" s="2">
        <f>F20+H20</f>
        <v>0</v>
      </c>
      <c r="K20" s="7">
        <f>G20+I20</f>
        <v>0</v>
      </c>
      <c r="L20" s="1">
        <v>50000</v>
      </c>
      <c r="M20" s="7">
        <f>J20*$J$26</f>
        <v>0</v>
      </c>
      <c r="N20" s="7">
        <f>J20+L20</f>
        <v>50000</v>
      </c>
      <c r="O20" s="7">
        <f>K20+M20</f>
        <v>0</v>
      </c>
    </row>
    <row r="21" spans="1:15" x14ac:dyDescent="0.25">
      <c r="C21" s="1"/>
      <c r="F21" s="1"/>
      <c r="J21" s="6"/>
      <c r="N21" s="5"/>
    </row>
    <row r="22" spans="1:15" x14ac:dyDescent="0.25">
      <c r="A22" s="1" t="s">
        <v>4</v>
      </c>
      <c r="C22" s="2">
        <f>SUM(C3:C20)</f>
        <v>175000</v>
      </c>
      <c r="F22" s="2">
        <f>SUM(F3:F20)</f>
        <v>310000</v>
      </c>
      <c r="J22" s="2">
        <f>SUM(J3:J20)</f>
        <v>440000</v>
      </c>
      <c r="N22" s="2">
        <f>SUM(N3:N20)</f>
        <v>780000</v>
      </c>
    </row>
    <row r="23" spans="1:15" x14ac:dyDescent="0.25">
      <c r="A23" s="1" t="s">
        <v>3</v>
      </c>
      <c r="C23" s="2">
        <f>100000</f>
        <v>100000</v>
      </c>
      <c r="F23" s="2">
        <v>300000</v>
      </c>
      <c r="J23" s="2">
        <v>300000</v>
      </c>
      <c r="N23" s="2">
        <v>200000</v>
      </c>
    </row>
    <row r="24" spans="1:15" x14ac:dyDescent="0.25">
      <c r="A24" s="4" t="s">
        <v>2</v>
      </c>
      <c r="C24" s="3">
        <v>0.04</v>
      </c>
      <c r="F24" s="3">
        <v>0.04</v>
      </c>
      <c r="J24" s="3">
        <v>0.04</v>
      </c>
      <c r="N24" s="3">
        <v>0.04</v>
      </c>
    </row>
    <row r="25" spans="1:15" x14ac:dyDescent="0.25">
      <c r="A25" s="1" t="s">
        <v>1</v>
      </c>
      <c r="C25" s="2">
        <f>C24*C23</f>
        <v>4000</v>
      </c>
      <c r="F25" s="2">
        <f>F24*F23</f>
        <v>12000</v>
      </c>
      <c r="J25" s="2">
        <f>J23*J24</f>
        <v>12000</v>
      </c>
      <c r="N25" s="2">
        <f>N23*N24</f>
        <v>8000</v>
      </c>
    </row>
    <row r="26" spans="1:15" x14ac:dyDescent="0.25">
      <c r="A26" s="1" t="s">
        <v>0</v>
      </c>
      <c r="C26" s="1">
        <f>(C25/C22)</f>
        <v>2.2857142857142857E-2</v>
      </c>
      <c r="F26" s="1">
        <f>F25/F22</f>
        <v>3.870967741935484E-2</v>
      </c>
      <c r="J26" s="1">
        <f>J25/J22</f>
        <v>2.7272727272727271E-2</v>
      </c>
      <c r="N26" s="1">
        <f>N25/N22</f>
        <v>1.0256410256410256E-2</v>
      </c>
    </row>
  </sheetData>
  <mergeCells count="4">
    <mergeCell ref="D1:G1"/>
    <mergeCell ref="H1:K1"/>
    <mergeCell ref="B1:C1"/>
    <mergeCell ref="L1:O1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 -</dc:creator>
  <cp:lastModifiedBy>- -</cp:lastModifiedBy>
  <dcterms:created xsi:type="dcterms:W3CDTF">2026-06-02T09:02:19Z</dcterms:created>
  <dcterms:modified xsi:type="dcterms:W3CDTF">2026-06-02T09:02:52Z</dcterms:modified>
</cp:coreProperties>
</file>